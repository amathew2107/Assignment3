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isGood\DataCleaning\"/>
    </mc:Choice>
  </mc:AlternateContent>
  <xr:revisionPtr revIDLastSave="0" documentId="8_{DF222A93-0BC2-4342-89AB-4CE572BDFB3F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definedNames>
    <definedName name="_xlnm._FilterDatabase" localSheetId="0" hidden="1">Unmessenger!#REF!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E12" i="1"/>
  <c r="E45" i="1"/>
  <c r="E42" i="1"/>
  <c r="E35" i="1"/>
  <c r="E31" i="1"/>
  <c r="E28" i="1"/>
  <c r="E21" i="1"/>
  <c r="E17" i="1"/>
</calcChain>
</file>

<file path=xl/sharedStrings.xml><?xml version="1.0" encoding="utf-8"?>
<sst xmlns="http://schemas.openxmlformats.org/spreadsheetml/2006/main" count="215" uniqueCount="130">
  <si>
    <t>Name</t>
  </si>
  <si>
    <t>Id</t>
  </si>
  <si>
    <t>Age</t>
  </si>
  <si>
    <t>Gender</t>
  </si>
  <si>
    <t>Email</t>
  </si>
  <si>
    <t>Phone</t>
  </si>
  <si>
    <t>Address</t>
  </si>
  <si>
    <t>M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</si>
  <si>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</si>
  <si>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</si>
  <si>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</si>
  <si>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</si>
  <si>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</si>
  <si>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</si>
  <si>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</si>
  <si>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</si>
  <si>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</si>
  <si>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</si>
  <si>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</si>
  <si>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</si>
  <si>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</si>
  <si>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</si>
  <si>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</si>
  <si>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</si>
  <si>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</si>
  <si>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</si>
  <si>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</si>
  <si>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</si>
  <si>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</si>
  <si>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</si>
  <si>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</si>
  <si>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</si>
  <si>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</si>
  <si>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</si>
  <si>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</si>
  <si>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</si>
  <si>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</si>
  <si>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</si>
  <si>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</si>
  <si>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</si>
  <si>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</si>
  <si>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</si>
  <si>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</si>
  <si>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</si>
  <si>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</si>
  <si>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</si>
  <si>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</si>
  <si>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</si>
  <si>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</si>
  <si>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</si>
  <si>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</si>
  <si>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</si>
  <si>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</si>
  <si>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</si>
  <si>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</si>
  <si>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</si>
  <si>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</si>
  <si>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</si>
  <si>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</si>
  <si>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</si>
  <si>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</si>
  <si>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</si>
  <si>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</si>
  <si>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</si>
  <si>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</si>
  <si>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</si>
  <si>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</si>
  <si>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</si>
  <si>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</si>
  <si>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</si>
  <si>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</si>
  <si>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</si>
  <si>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</si>
  <si>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</si>
  <si>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</si>
  <si>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</si>
  <si>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</si>
  <si>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</si>
  <si>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</si>
  <si>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</si>
  <si>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</si>
  <si>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</si>
  <si>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</si>
  <si>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</si>
  <si>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</si>
  <si>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</si>
  <si>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</si>
  <si>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</si>
  <si>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</si>
  <si>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</si>
  <si>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</si>
  <si>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</si>
  <si>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</si>
  <si>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</si>
  <si>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</si>
  <si>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</si>
  <si>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</si>
  <si>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</si>
  <si>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</si>
  <si>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</si>
  <si>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</si>
  <si>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</si>
  <si>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</si>
  <si>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</si>
  <si>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</si>
  <si>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</si>
  <si>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</si>
  <si>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</si>
  <si>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</si>
  <si>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</si>
  <si>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</si>
  <si>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</si>
  <si>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</si>
  <si>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</si>
  <si>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</si>
  <si>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</si>
  <si>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</si>
  <si>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</si>
  <si>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</si>
  <si>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</si>
  <si>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</si>
  <si>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</si>
  <si>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</si>
  <si>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</si>
  <si>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Address Not Found</t>
  </si>
  <si>
    <t>support.dataisgood.com</t>
  </si>
  <si>
    <t>IT Development</t>
  </si>
  <si>
    <t>Management</t>
  </si>
  <si>
    <t>Sles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</si>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</sst>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\9\1\ 0000000000"/>
    <numFmt numFmtId="166" formatCode="&quot;₹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3" borderId="1" xfId="0" applyFont="1" applyFill="1" applyBorder="1"/>
    <xf numFmtId="0" fontId="0" fillId="0" borderId="0" xfId="0" applyFont="1"/>
    <xf numFmtId="16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3">
    <dxf>
      <font>
        <b/>
        <i/>
      </font>
      <fill>
        <patternFill>
          <bgColor theme="8" tint="-0.24994659260841701"/>
        </patternFill>
      </fill>
      <border>
        <vertical/>
        <horizontal/>
      </border>
    </dxf>
    <dxf>
      <font>
        <b/>
        <i/>
      </font>
      <fill>
        <patternFill>
          <fgColor indexed="64"/>
          <bgColor theme="8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480060</xdr:colOff>
      <xdr:row>0</xdr:row>
      <xdr:rowOff>114300</xdr:rowOff>
    </xdr:from>
    <xdr:to>
      <xdr:col>9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5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D7:L57" totalsRowShown="0" headerRowDxfId="3" dataDxfId="2">
  <tableColumns count="9">
    <tableColumn id="1" xr3:uid="{0F186AC9-7116-4750-8350-32E39657BDEF}" name="Id" dataDxfId="12"/>
    <tableColumn id="2" xr3:uid="{587ADADF-3A31-4671-AAB2-636A2204C2A1}" name="Name" dataDxfId="11"/>
    <tableColumn id="3" xr3:uid="{D20B21E4-141B-4F80-B509-FFFDBDDDD7F4}" name="Age" dataDxfId="10"/>
    <tableColumn id="4" xr3:uid="{988050FD-7A13-4567-B7F1-B83DFF6C50D6}" name="Gender" dataDxfId="9"/>
    <tableColumn id="5" xr3:uid="{71DD8E56-AB70-41BA-BE06-62EA46C80DEC}" name="Department" dataDxfId="8"/>
    <tableColumn id="6" xr3:uid="{C20650CA-3DDE-4C63-83CA-462380F46BB4}" name="Email" dataDxfId="7"/>
    <tableColumn id="7" xr3:uid="{9F3F4B7E-0B29-4F47-944B-C89BC5596DA2}" name="Phone" dataDxfId="6"/>
    <tableColumn id="8" xr3:uid="{9894F713-829B-4BE3-B5D2-22F23DA72823}" name="Address" dataDxfId="5"/>
    <tableColumn id="9" xr3:uid="{69CDA7D3-FED4-49AB-9173-918B9E817F84}" name="Salary" dataDxfId="4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D1:L57"/>
  <sheetViews>
    <sheetView tabSelected="1" workbookViewId="0">
      <selection activeCell="D1" sqref="D1:D1048576"/>
    </sheetView>
  </sheetViews>
  <sheetFormatPr defaultRowHeight="14.4" x14ac:dyDescent="0.3"/>
  <cols>
    <col min="4" max="4" width="3" bestFit="1" customWidth="1"/>
    <col min="5" max="5" width="13.109375" bestFit="1" customWidth="1"/>
    <col min="6" max="6" width="3.88671875" bestFit="1" customWidth="1"/>
    <col min="7" max="7" width="6.44140625" bestFit="1" customWidth="1"/>
    <col min="8" max="8" width="15.5546875" bestFit="1" customWidth="1"/>
    <col min="9" max="9" width="25.109375" bestFit="1" customWidth="1"/>
    <col min="10" max="10" width="14.5546875" bestFit="1" customWidth="1"/>
    <col min="11" max="11" width="36.5546875" bestFit="1" customWidth="1"/>
    <col min="12" max="12" width="11.21875" bestFit="1" customWidth="1"/>
  </cols>
  <sheetData>
    <row r="1" spans="4:12" x14ac:dyDescent="0.3">
      <c r="E1" s="2"/>
    </row>
    <row r="2" spans="4:12" x14ac:dyDescent="0.3">
      <c r="E2" s="2"/>
    </row>
    <row r="3" spans="4:12" x14ac:dyDescent="0.3">
      <c r="E3" s="2"/>
    </row>
    <row r="4" spans="4:12" x14ac:dyDescent="0.3">
      <c r="E4" s="2"/>
    </row>
    <row r="5" spans="4:12" x14ac:dyDescent="0.3">
      <c r="E5" s="2"/>
    </row>
    <row r="6" spans="4:12" x14ac:dyDescent="0.3">
      <c r="E6" s="2"/>
    </row>
    <row r="7" spans="4:12" x14ac:dyDescent="0.3">
      <c r="D7" s="1" t="s">
        <v>1</v>
      </c>
      <c r="E7" s="1" t="s">
        <v>0</v>
      </c>
      <c r="F7" s="1" t="s">
        <v>2</v>
      </c>
      <c r="G7" s="1" t="s">
        <v>3</v>
      </c>
      <c r="H7" s="1" t="s">
        <v>117</v>
      </c>
      <c r="I7" s="1" t="s">
        <v>4</v>
      </c>
      <c r="J7" s="1" t="s">
        <v>5</v>
      </c>
      <c r="K7" s="1" t="s">
        <v>6</v>
      </c>
      <c r="L7" s="1" t="s">
        <v>116</v>
      </c>
    </row>
    <row r="8" spans="4:12" x14ac:dyDescent="0.3">
      <c r="D8">
        <v>1</v>
      </c>
      <c r="E8" t="s">
        <v>27</v>
      </c>
      <c r="F8">
        <v>32</v>
      </c>
      <c r="G8" t="s">
        <v>7</v>
      </c>
      <c r="H8" t="s">
        <v>118</v>
      </c>
      <c r="I8" t="s">
        <v>28</v>
      </c>
      <c r="J8" s="4">
        <v>1234567890</v>
      </c>
      <c r="K8" s="4" t="s">
        <v>29</v>
      </c>
      <c r="L8" s="5">
        <v>4553</v>
      </c>
    </row>
    <row r="9" spans="4:12" x14ac:dyDescent="0.3">
      <c r="D9">
        <v>2</v>
      </c>
      <c r="E9" t="s">
        <v>30</v>
      </c>
      <c r="F9">
        <v>28</v>
      </c>
      <c r="G9" t="s">
        <v>9</v>
      </c>
      <c r="H9" t="s">
        <v>119</v>
      </c>
      <c r="I9" t="s">
        <v>31</v>
      </c>
      <c r="J9" s="4">
        <v>9876543210</v>
      </c>
      <c r="K9" t="s">
        <v>32</v>
      </c>
      <c r="L9" s="5">
        <v>31169</v>
      </c>
    </row>
    <row r="10" spans="4:12" x14ac:dyDescent="0.3">
      <c r="D10">
        <v>3</v>
      </c>
      <c r="E10" t="s">
        <v>33</v>
      </c>
      <c r="F10">
        <v>27</v>
      </c>
      <c r="G10" t="s">
        <v>7</v>
      </c>
      <c r="H10" t="s">
        <v>126</v>
      </c>
      <c r="I10" t="s">
        <v>34</v>
      </c>
      <c r="J10" s="4">
        <v>8765432109</v>
      </c>
      <c r="K10" t="s">
        <v>35</v>
      </c>
      <c r="L10" s="5">
        <v>11116</v>
      </c>
    </row>
    <row r="11" spans="4:12" x14ac:dyDescent="0.3">
      <c r="D11">
        <v>4</v>
      </c>
      <c r="E11" t="s">
        <v>36</v>
      </c>
      <c r="F11">
        <v>33</v>
      </c>
      <c r="G11" t="s">
        <v>9</v>
      </c>
      <c r="H11" t="s">
        <v>120</v>
      </c>
      <c r="I11" t="s">
        <v>37</v>
      </c>
      <c r="J11" s="4">
        <v>5555555555</v>
      </c>
      <c r="K11" t="s">
        <v>38</v>
      </c>
      <c r="L11" s="5">
        <v>33457</v>
      </c>
    </row>
    <row r="12" spans="4:12" x14ac:dyDescent="0.3">
      <c r="D12">
        <v>5</v>
      </c>
      <c r="E12" t="str">
        <f>SUBSTITUTE(LEFT(Table1[[#This Row],[Email]],FIND("@", Table1[[#This Row],[Email]])-1),".", " ")</f>
        <v>jane doe</v>
      </c>
      <c r="F12">
        <v>29</v>
      </c>
      <c r="G12" t="s">
        <v>9</v>
      </c>
      <c r="H12" t="s">
        <v>128</v>
      </c>
      <c r="I12" t="s">
        <v>39</v>
      </c>
      <c r="J12" s="4"/>
      <c r="K12" t="s">
        <v>124</v>
      </c>
      <c r="L12" s="5">
        <v>218</v>
      </c>
    </row>
    <row r="13" spans="4:12" x14ac:dyDescent="0.3">
      <c r="D13">
        <v>6</v>
      </c>
      <c r="E13" t="s">
        <v>40</v>
      </c>
      <c r="F13">
        <v>34</v>
      </c>
      <c r="G13" t="s">
        <v>7</v>
      </c>
      <c r="H13" t="s">
        <v>123</v>
      </c>
      <c r="I13" t="s">
        <v>41</v>
      </c>
      <c r="J13" s="4"/>
      <c r="K13" t="s">
        <v>42</v>
      </c>
      <c r="L13" s="5">
        <v>33418</v>
      </c>
    </row>
    <row r="14" spans="4:12" x14ac:dyDescent="0.3">
      <c r="D14">
        <v>7</v>
      </c>
      <c r="E14" t="s">
        <v>43</v>
      </c>
      <c r="F14">
        <v>25</v>
      </c>
      <c r="G14" t="s">
        <v>9</v>
      </c>
      <c r="H14" t="s">
        <v>126</v>
      </c>
      <c r="I14" t="s">
        <v>125</v>
      </c>
      <c r="J14" s="4">
        <v>9999999999</v>
      </c>
      <c r="K14" t="s">
        <v>44</v>
      </c>
      <c r="L14" s="5">
        <v>45828</v>
      </c>
    </row>
    <row r="15" spans="4:12" x14ac:dyDescent="0.3">
      <c r="D15">
        <v>8</v>
      </c>
      <c r="E15" t="s">
        <v>45</v>
      </c>
      <c r="F15">
        <v>31</v>
      </c>
      <c r="G15" t="s">
        <v>7</v>
      </c>
      <c r="H15" t="s">
        <v>120</v>
      </c>
      <c r="I15" t="s">
        <v>46</v>
      </c>
      <c r="J15" s="4">
        <v>8888888888</v>
      </c>
      <c r="K15" t="s">
        <v>124</v>
      </c>
      <c r="L15" s="5">
        <v>45450</v>
      </c>
    </row>
    <row r="16" spans="4:12" x14ac:dyDescent="0.3">
      <c r="D16">
        <v>9</v>
      </c>
      <c r="E16" t="s">
        <v>47</v>
      </c>
      <c r="F16">
        <v>27</v>
      </c>
      <c r="G16" t="s">
        <v>9</v>
      </c>
      <c r="H16" t="s">
        <v>128</v>
      </c>
      <c r="I16" t="s">
        <v>48</v>
      </c>
      <c r="J16" s="4">
        <v>7777777777</v>
      </c>
      <c r="K16" t="s">
        <v>49</v>
      </c>
      <c r="L16" s="5">
        <v>49938</v>
      </c>
    </row>
    <row r="17" spans="4:12" x14ac:dyDescent="0.3">
      <c r="D17">
        <v>10</v>
      </c>
      <c r="E17" t="str">
        <f>SUBSTITUTE(LEFT(Table1[[#This Row],[Email]],FIND("@", Table1[[#This Row],[Email]])-1),".", " ")</f>
        <v>naveen sharma</v>
      </c>
      <c r="F17">
        <v>35</v>
      </c>
      <c r="G17" t="s">
        <v>7</v>
      </c>
      <c r="H17" t="s">
        <v>118</v>
      </c>
      <c r="I17" t="s">
        <v>50</v>
      </c>
      <c r="J17" s="4"/>
      <c r="K17" t="s">
        <v>51</v>
      </c>
      <c r="L17" s="5">
        <v>9818</v>
      </c>
    </row>
    <row r="18" spans="4:12" x14ac:dyDescent="0.3">
      <c r="D18">
        <v>11</v>
      </c>
      <c r="E18" t="s">
        <v>52</v>
      </c>
      <c r="F18">
        <v>29.810810810810811</v>
      </c>
      <c r="G18" t="s">
        <v>9</v>
      </c>
      <c r="H18" t="s">
        <v>119</v>
      </c>
      <c r="I18" t="s">
        <v>53</v>
      </c>
      <c r="J18" s="4">
        <v>6666666666</v>
      </c>
      <c r="K18" t="s">
        <v>54</v>
      </c>
      <c r="L18" s="5">
        <v>41836</v>
      </c>
    </row>
    <row r="19" spans="4:12" x14ac:dyDescent="0.3">
      <c r="D19">
        <v>12</v>
      </c>
      <c r="E19" t="s">
        <v>55</v>
      </c>
      <c r="F19">
        <v>29</v>
      </c>
      <c r="G19" t="s">
        <v>7</v>
      </c>
      <c r="H19" t="s">
        <v>119</v>
      </c>
      <c r="I19" t="s">
        <v>56</v>
      </c>
      <c r="J19" s="4">
        <v>5555555555</v>
      </c>
      <c r="K19" t="s">
        <v>57</v>
      </c>
      <c r="L19" s="5">
        <v>11901</v>
      </c>
    </row>
    <row r="20" spans="4:12" x14ac:dyDescent="0.3">
      <c r="D20">
        <v>19</v>
      </c>
      <c r="E20" t="s">
        <v>8</v>
      </c>
      <c r="F20">
        <v>30</v>
      </c>
      <c r="G20" t="s">
        <v>9</v>
      </c>
      <c r="H20" t="s">
        <v>123</v>
      </c>
      <c r="I20" t="s">
        <v>10</v>
      </c>
      <c r="J20" s="4">
        <v>5555555555</v>
      </c>
      <c r="K20" t="s">
        <v>11</v>
      </c>
      <c r="L20" s="5">
        <v>3337</v>
      </c>
    </row>
    <row r="21" spans="4:12" x14ac:dyDescent="0.3">
      <c r="D21">
        <v>20</v>
      </c>
      <c r="E21" t="str">
        <f>SUBSTITUTE(LEFT(Table1[[#This Row],[Email]],FIND("@", Table1[[#This Row],[Email]])-1),".", " ")</f>
        <v>vikas joshi</v>
      </c>
      <c r="F21">
        <v>32</v>
      </c>
      <c r="G21" t="s">
        <v>7</v>
      </c>
      <c r="H21" t="s">
        <v>122</v>
      </c>
      <c r="I21" t="s">
        <v>12</v>
      </c>
      <c r="J21" s="4">
        <v>9999999999</v>
      </c>
      <c r="K21" t="s">
        <v>124</v>
      </c>
      <c r="L21" s="5">
        <v>2857</v>
      </c>
    </row>
    <row r="22" spans="4:12" x14ac:dyDescent="0.3">
      <c r="D22">
        <v>21</v>
      </c>
      <c r="E22" t="s">
        <v>13</v>
      </c>
      <c r="F22">
        <v>26</v>
      </c>
      <c r="G22" t="s">
        <v>9</v>
      </c>
      <c r="H22" t="s">
        <v>127</v>
      </c>
      <c r="I22" t="s">
        <v>14</v>
      </c>
      <c r="J22" s="4"/>
      <c r="K22" t="s">
        <v>15</v>
      </c>
      <c r="L22" s="5">
        <v>35969</v>
      </c>
    </row>
    <row r="23" spans="4:12" x14ac:dyDescent="0.3">
      <c r="D23">
        <v>22</v>
      </c>
      <c r="E23" t="s">
        <v>16</v>
      </c>
      <c r="F23">
        <v>33</v>
      </c>
      <c r="G23" t="s">
        <v>7</v>
      </c>
      <c r="H23" t="s">
        <v>123</v>
      </c>
      <c r="I23" t="s">
        <v>17</v>
      </c>
      <c r="J23" s="4">
        <v>8888888888</v>
      </c>
      <c r="K23" t="s">
        <v>18</v>
      </c>
      <c r="L23" s="5">
        <v>49681</v>
      </c>
    </row>
    <row r="24" spans="4:12" x14ac:dyDescent="0.3">
      <c r="D24">
        <v>24</v>
      </c>
      <c r="E24" t="s">
        <v>19</v>
      </c>
      <c r="F24">
        <v>29</v>
      </c>
      <c r="G24" t="s">
        <v>7</v>
      </c>
      <c r="H24" t="s">
        <v>118</v>
      </c>
      <c r="I24" t="s">
        <v>20</v>
      </c>
      <c r="J24" s="4">
        <v>6666666666</v>
      </c>
      <c r="K24" t="s">
        <v>124</v>
      </c>
      <c r="L24" s="5">
        <v>15853</v>
      </c>
    </row>
    <row r="25" spans="4:12" x14ac:dyDescent="0.3">
      <c r="D25">
        <v>25</v>
      </c>
      <c r="E25" t="s">
        <v>21</v>
      </c>
      <c r="F25">
        <v>29.810810810810811</v>
      </c>
      <c r="G25" t="s">
        <v>9</v>
      </c>
      <c r="H25" t="s">
        <v>119</v>
      </c>
      <c r="I25" t="s">
        <v>22</v>
      </c>
      <c r="J25" s="4">
        <v>5555555555</v>
      </c>
      <c r="K25" t="s">
        <v>23</v>
      </c>
      <c r="L25" s="5">
        <v>6926</v>
      </c>
    </row>
    <row r="26" spans="4:12" x14ac:dyDescent="0.3">
      <c r="D26">
        <v>27</v>
      </c>
      <c r="E26" t="s">
        <v>24</v>
      </c>
      <c r="F26">
        <v>28</v>
      </c>
      <c r="G26" t="s">
        <v>9</v>
      </c>
      <c r="H26" t="s">
        <v>127</v>
      </c>
      <c r="I26" t="s">
        <v>25</v>
      </c>
      <c r="J26" s="4">
        <v>7777777777</v>
      </c>
      <c r="K26" t="s">
        <v>26</v>
      </c>
      <c r="L26" s="5">
        <v>8022</v>
      </c>
    </row>
    <row r="27" spans="4:12" x14ac:dyDescent="0.3">
      <c r="D27">
        <v>28</v>
      </c>
      <c r="E27" t="s">
        <v>58</v>
      </c>
      <c r="F27">
        <v>34</v>
      </c>
      <c r="G27" t="s">
        <v>7</v>
      </c>
      <c r="H27" t="s">
        <v>123</v>
      </c>
      <c r="I27" t="s">
        <v>59</v>
      </c>
      <c r="J27" s="4">
        <v>8888888888</v>
      </c>
      <c r="K27" t="s">
        <v>60</v>
      </c>
      <c r="L27" s="5">
        <v>3484</v>
      </c>
    </row>
    <row r="28" spans="4:12" x14ac:dyDescent="0.3">
      <c r="D28">
        <v>30</v>
      </c>
      <c r="E28" t="str">
        <f>SUBSTITUTE(LEFT(Table1[[#This Row],[Email]],FIND("@", Table1[[#This Row],[Email]])-1),".", " ")</f>
        <v>ankit singh</v>
      </c>
      <c r="F28">
        <v>29</v>
      </c>
      <c r="G28" t="s">
        <v>7</v>
      </c>
      <c r="H28" t="s">
        <v>120</v>
      </c>
      <c r="I28" t="s">
        <v>61</v>
      </c>
      <c r="J28" s="4"/>
      <c r="K28" t="s">
        <v>62</v>
      </c>
      <c r="L28" s="5">
        <v>40940</v>
      </c>
    </row>
    <row r="29" spans="4:12" x14ac:dyDescent="0.3">
      <c r="D29">
        <v>31</v>
      </c>
      <c r="E29" t="s">
        <v>47</v>
      </c>
      <c r="F29">
        <v>27</v>
      </c>
      <c r="G29" t="s">
        <v>9</v>
      </c>
      <c r="H29" t="s">
        <v>128</v>
      </c>
      <c r="I29" t="s">
        <v>63</v>
      </c>
      <c r="J29" s="4">
        <v>5555555555</v>
      </c>
      <c r="K29" t="s">
        <v>124</v>
      </c>
      <c r="L29" s="5">
        <v>41841</v>
      </c>
    </row>
    <row r="30" spans="4:12" x14ac:dyDescent="0.3">
      <c r="D30">
        <v>32</v>
      </c>
      <c r="E30" t="s">
        <v>64</v>
      </c>
      <c r="F30">
        <v>32</v>
      </c>
      <c r="G30" t="s">
        <v>7</v>
      </c>
      <c r="H30" t="s">
        <v>122</v>
      </c>
      <c r="I30" t="s">
        <v>65</v>
      </c>
      <c r="J30" s="4"/>
      <c r="K30" t="s">
        <v>66</v>
      </c>
      <c r="L30" s="5">
        <v>39835</v>
      </c>
    </row>
    <row r="31" spans="4:12" x14ac:dyDescent="0.3">
      <c r="D31">
        <v>33</v>
      </c>
      <c r="E31" t="str">
        <f>SUBSTITUTE(LEFT(Table1[[#This Row],[Email]],FIND("@", Table1[[#This Row],[Email]])-1),".", " ")</f>
        <v>sarika patel</v>
      </c>
      <c r="F31">
        <v>33</v>
      </c>
      <c r="G31" t="s">
        <v>9</v>
      </c>
      <c r="H31" t="s">
        <v>127</v>
      </c>
      <c r="I31" t="s">
        <v>67</v>
      </c>
      <c r="J31" s="4">
        <v>6666666666</v>
      </c>
      <c r="K31" t="s">
        <v>68</v>
      </c>
      <c r="L31" s="5">
        <v>9577</v>
      </c>
    </row>
    <row r="32" spans="4:12" x14ac:dyDescent="0.3">
      <c r="D32">
        <v>34</v>
      </c>
      <c r="E32" t="s">
        <v>69</v>
      </c>
      <c r="F32">
        <v>30</v>
      </c>
      <c r="G32" t="s">
        <v>7</v>
      </c>
      <c r="H32" t="s">
        <v>123</v>
      </c>
      <c r="I32" t="s">
        <v>70</v>
      </c>
      <c r="J32" s="4"/>
      <c r="K32" t="s">
        <v>71</v>
      </c>
      <c r="L32" s="5">
        <v>29480</v>
      </c>
    </row>
    <row r="33" spans="4:12" x14ac:dyDescent="0.3">
      <c r="D33">
        <v>35</v>
      </c>
      <c r="E33" t="s">
        <v>72</v>
      </c>
      <c r="F33">
        <v>29.810810810810811</v>
      </c>
      <c r="G33" t="s">
        <v>9</v>
      </c>
      <c r="H33" t="s">
        <v>126</v>
      </c>
      <c r="I33" t="s">
        <v>73</v>
      </c>
      <c r="J33" s="4">
        <v>5555555555</v>
      </c>
      <c r="K33" t="s">
        <v>74</v>
      </c>
      <c r="L33" s="5">
        <v>14254</v>
      </c>
    </row>
    <row r="34" spans="4:12" x14ac:dyDescent="0.3">
      <c r="D34">
        <v>36</v>
      </c>
      <c r="E34" t="s">
        <v>75</v>
      </c>
      <c r="F34">
        <v>29</v>
      </c>
      <c r="G34" t="s">
        <v>7</v>
      </c>
      <c r="H34" t="s">
        <v>120</v>
      </c>
      <c r="I34" t="s">
        <v>76</v>
      </c>
      <c r="J34" s="4">
        <v>7777777777</v>
      </c>
      <c r="K34" t="s">
        <v>77</v>
      </c>
      <c r="L34" s="5">
        <v>37358</v>
      </c>
    </row>
    <row r="35" spans="4:12" x14ac:dyDescent="0.3">
      <c r="D35">
        <v>37</v>
      </c>
      <c r="E35" t="str">
        <f>SUBSTITUTE(LEFT(Table1[[#This Row],[Email]],FIND("@", Table1[[#This Row],[Email]])-1),".", " ")</f>
        <v>payal sharma</v>
      </c>
      <c r="F35">
        <v>31</v>
      </c>
      <c r="G35" t="s">
        <v>9</v>
      </c>
      <c r="H35" t="s">
        <v>128</v>
      </c>
      <c r="I35" t="s">
        <v>78</v>
      </c>
      <c r="J35" s="4"/>
      <c r="K35" t="s">
        <v>79</v>
      </c>
      <c r="L35" s="5">
        <v>48367</v>
      </c>
    </row>
    <row r="36" spans="4:12" x14ac:dyDescent="0.3">
      <c r="D36">
        <v>38</v>
      </c>
      <c r="E36" t="s">
        <v>80</v>
      </c>
      <c r="F36">
        <v>28</v>
      </c>
      <c r="G36" t="s">
        <v>7</v>
      </c>
      <c r="H36" t="s">
        <v>121</v>
      </c>
      <c r="I36" t="s">
        <v>81</v>
      </c>
      <c r="J36" s="4">
        <v>8888888888</v>
      </c>
      <c r="K36" t="s">
        <v>82</v>
      </c>
      <c r="L36" s="5">
        <v>37473</v>
      </c>
    </row>
    <row r="37" spans="4:12" x14ac:dyDescent="0.3">
      <c r="D37">
        <v>39</v>
      </c>
      <c r="E37" t="s">
        <v>83</v>
      </c>
      <c r="F37">
        <v>33</v>
      </c>
      <c r="G37" t="s">
        <v>9</v>
      </c>
      <c r="H37" t="s">
        <v>121</v>
      </c>
      <c r="I37" t="s">
        <v>84</v>
      </c>
      <c r="J37" s="4">
        <v>9999999999</v>
      </c>
      <c r="K37" t="s">
        <v>85</v>
      </c>
      <c r="L37" s="5">
        <v>30628</v>
      </c>
    </row>
    <row r="38" spans="4:12" x14ac:dyDescent="0.3">
      <c r="D38">
        <v>40</v>
      </c>
      <c r="E38" t="s">
        <v>86</v>
      </c>
      <c r="F38">
        <v>30</v>
      </c>
      <c r="G38" t="s">
        <v>7</v>
      </c>
      <c r="H38" t="s">
        <v>118</v>
      </c>
      <c r="I38" t="s">
        <v>87</v>
      </c>
      <c r="J38" s="4"/>
      <c r="K38" t="s">
        <v>88</v>
      </c>
      <c r="L38" s="5">
        <v>22018</v>
      </c>
    </row>
    <row r="39" spans="4:12" x14ac:dyDescent="0.3">
      <c r="D39">
        <v>41</v>
      </c>
      <c r="E39" t="s">
        <v>89</v>
      </c>
      <c r="F39">
        <v>27</v>
      </c>
      <c r="G39" t="s">
        <v>9</v>
      </c>
      <c r="H39" t="s">
        <v>123</v>
      </c>
      <c r="I39" t="s">
        <v>90</v>
      </c>
      <c r="J39" s="4">
        <v>7777777777</v>
      </c>
      <c r="K39" t="s">
        <v>91</v>
      </c>
      <c r="L39" s="5">
        <v>35747</v>
      </c>
    </row>
    <row r="40" spans="4:12" x14ac:dyDescent="0.3">
      <c r="D40">
        <v>42</v>
      </c>
      <c r="E40" t="s">
        <v>92</v>
      </c>
      <c r="F40">
        <v>29</v>
      </c>
      <c r="G40" t="s">
        <v>7</v>
      </c>
      <c r="H40" t="s">
        <v>128</v>
      </c>
      <c r="I40" t="s">
        <v>93</v>
      </c>
      <c r="J40" s="4"/>
      <c r="K40" t="s">
        <v>94</v>
      </c>
      <c r="L40" s="5">
        <v>32258</v>
      </c>
    </row>
    <row r="41" spans="4:12" x14ac:dyDescent="0.3">
      <c r="D41">
        <v>43</v>
      </c>
      <c r="E41" t="s">
        <v>95</v>
      </c>
      <c r="F41">
        <v>26</v>
      </c>
      <c r="G41" t="s">
        <v>9</v>
      </c>
      <c r="H41" t="s">
        <v>122</v>
      </c>
      <c r="I41" t="s">
        <v>96</v>
      </c>
      <c r="J41" s="4">
        <v>5555555555</v>
      </c>
      <c r="K41" t="s">
        <v>97</v>
      </c>
      <c r="L41" s="5">
        <v>31047</v>
      </c>
    </row>
    <row r="42" spans="4:12" x14ac:dyDescent="0.3">
      <c r="D42">
        <v>44</v>
      </c>
      <c r="E42" t="str">
        <f>SUBSTITUTE(LEFT(Table1[[#This Row],[Email]],FIND("@", Table1[[#This Row],[Email]])-1),".", " ")</f>
        <v>mukesh sharma</v>
      </c>
      <c r="F42">
        <v>28</v>
      </c>
      <c r="G42" t="s">
        <v>7</v>
      </c>
      <c r="H42" t="s">
        <v>127</v>
      </c>
      <c r="I42" t="s">
        <v>98</v>
      </c>
      <c r="J42" s="4"/>
      <c r="K42" t="s">
        <v>99</v>
      </c>
      <c r="L42" s="5">
        <v>31064</v>
      </c>
    </row>
    <row r="43" spans="4:12" x14ac:dyDescent="0.3">
      <c r="D43">
        <v>45</v>
      </c>
      <c r="E43" t="s">
        <v>100</v>
      </c>
      <c r="F43">
        <v>31</v>
      </c>
      <c r="G43" t="s">
        <v>7</v>
      </c>
      <c r="H43" t="s">
        <v>123</v>
      </c>
      <c r="I43" t="s">
        <v>101</v>
      </c>
      <c r="J43" s="4">
        <v>8888888888</v>
      </c>
      <c r="K43" t="s">
        <v>124</v>
      </c>
      <c r="L43" s="5">
        <v>3108</v>
      </c>
    </row>
    <row r="44" spans="4:12" x14ac:dyDescent="0.3">
      <c r="D44">
        <v>46</v>
      </c>
      <c r="E44" t="s">
        <v>102</v>
      </c>
      <c r="F44">
        <v>27</v>
      </c>
      <c r="G44" t="s">
        <v>9</v>
      </c>
      <c r="H44" t="s">
        <v>121</v>
      </c>
      <c r="I44" t="s">
        <v>103</v>
      </c>
      <c r="J44" s="4">
        <v>7777777777</v>
      </c>
      <c r="K44" t="s">
        <v>104</v>
      </c>
      <c r="L44" s="5">
        <v>20205</v>
      </c>
    </row>
    <row r="45" spans="4:12" x14ac:dyDescent="0.3">
      <c r="D45">
        <v>47</v>
      </c>
      <c r="E45" t="str">
        <f>SUBSTITUTE(LEFT(Table1[[#This Row],[Email]],FIND("@", Table1[[#This Row],[Email]])-1),".", " ")</f>
        <v>gaurav kumar</v>
      </c>
      <c r="F45">
        <v>29</v>
      </c>
      <c r="G45" t="s">
        <v>7</v>
      </c>
      <c r="H45" t="s">
        <v>121</v>
      </c>
      <c r="I45" t="s">
        <v>105</v>
      </c>
      <c r="J45" s="4"/>
      <c r="K45" t="s">
        <v>106</v>
      </c>
      <c r="L45" s="5">
        <v>8746</v>
      </c>
    </row>
    <row r="46" spans="4:12" x14ac:dyDescent="0.3">
      <c r="D46">
        <v>48</v>
      </c>
      <c r="E46" t="s">
        <v>107</v>
      </c>
      <c r="F46">
        <v>32</v>
      </c>
      <c r="G46" t="s">
        <v>9</v>
      </c>
      <c r="H46" t="s">
        <v>126</v>
      </c>
      <c r="I46" t="s">
        <v>108</v>
      </c>
      <c r="J46" s="4">
        <v>6666666666</v>
      </c>
      <c r="K46" t="s">
        <v>109</v>
      </c>
      <c r="L46" s="5">
        <v>15531</v>
      </c>
    </row>
    <row r="47" spans="4:12" x14ac:dyDescent="0.3">
      <c r="D47">
        <v>49</v>
      </c>
      <c r="E47" t="s">
        <v>110</v>
      </c>
      <c r="F47">
        <v>29.810810810810814</v>
      </c>
      <c r="G47" t="s">
        <v>7</v>
      </c>
      <c r="H47" t="s">
        <v>120</v>
      </c>
      <c r="I47" t="s">
        <v>111</v>
      </c>
      <c r="J47" s="4">
        <v>5555555555</v>
      </c>
      <c r="K47" t="s">
        <v>112</v>
      </c>
      <c r="L47" s="5">
        <v>23055</v>
      </c>
    </row>
    <row r="48" spans="4:12" x14ac:dyDescent="0.3">
      <c r="D48">
        <v>50</v>
      </c>
      <c r="E48" t="s">
        <v>113</v>
      </c>
      <c r="F48">
        <v>30</v>
      </c>
      <c r="G48" t="s">
        <v>9</v>
      </c>
      <c r="H48" t="s">
        <v>120</v>
      </c>
      <c r="I48" t="s">
        <v>114</v>
      </c>
      <c r="J48" s="4"/>
      <c r="K48" t="s">
        <v>115</v>
      </c>
      <c r="L48" s="5">
        <v>18647</v>
      </c>
    </row>
    <row r="49" spans="4:12" x14ac:dyDescent="0.3">
      <c r="D49" s="3"/>
      <c r="E49" s="3"/>
      <c r="F49" s="3">
        <f>AVERAGE(F8:F48)</f>
        <v>29.810810810810814</v>
      </c>
      <c r="G49" s="3"/>
      <c r="H49" s="3" t="s">
        <v>129</v>
      </c>
      <c r="I49" s="3"/>
      <c r="J49" s="3"/>
      <c r="K49" s="3"/>
      <c r="L49" s="3"/>
    </row>
    <row r="50" spans="4:12" x14ac:dyDescent="0.3">
      <c r="D50" s="3"/>
      <c r="E50" s="3"/>
      <c r="F50" s="3"/>
      <c r="G50" s="3"/>
      <c r="H50" s="3" t="s">
        <v>129</v>
      </c>
      <c r="I50" s="3"/>
      <c r="J50" s="3"/>
      <c r="K50" s="3"/>
      <c r="L50" s="3"/>
    </row>
    <row r="51" spans="4:12" x14ac:dyDescent="0.3">
      <c r="D51" s="3"/>
      <c r="E51" s="3"/>
      <c r="F51" s="3"/>
      <c r="G51" s="3"/>
      <c r="H51" s="3" t="s">
        <v>129</v>
      </c>
      <c r="I51" s="3"/>
      <c r="J51" s="3"/>
      <c r="K51" s="3"/>
      <c r="L51" s="3"/>
    </row>
    <row r="52" spans="4:12" x14ac:dyDescent="0.3">
      <c r="D52" s="3"/>
      <c r="E52" s="3"/>
      <c r="F52" s="3"/>
      <c r="G52" s="3"/>
      <c r="H52" s="3" t="s">
        <v>129</v>
      </c>
      <c r="I52" s="3"/>
      <c r="J52" s="3"/>
      <c r="K52" s="3"/>
      <c r="L52" s="3"/>
    </row>
    <row r="53" spans="4:12" x14ac:dyDescent="0.3">
      <c r="D53" s="3"/>
      <c r="E53" s="3"/>
      <c r="F53" s="3"/>
      <c r="G53" s="3"/>
      <c r="H53" s="3" t="s">
        <v>129</v>
      </c>
      <c r="I53" s="3"/>
      <c r="J53" s="3"/>
      <c r="K53" s="3"/>
      <c r="L53" s="3"/>
    </row>
    <row r="54" spans="4:12" x14ac:dyDescent="0.3">
      <c r="D54" s="3"/>
      <c r="E54" s="3"/>
      <c r="F54" s="3"/>
      <c r="G54" s="3"/>
      <c r="H54" s="3" t="s">
        <v>129</v>
      </c>
      <c r="I54" s="3"/>
      <c r="J54" s="3"/>
      <c r="K54" s="3"/>
      <c r="L54" s="3"/>
    </row>
    <row r="55" spans="4:12" x14ac:dyDescent="0.3">
      <c r="D55" s="3"/>
      <c r="E55" s="3"/>
      <c r="F55" s="3"/>
      <c r="G55" s="3"/>
      <c r="H55" s="3" t="s">
        <v>129</v>
      </c>
      <c r="I55" s="3"/>
      <c r="J55" s="3"/>
      <c r="K55" s="3"/>
      <c r="L55" s="3"/>
    </row>
    <row r="56" spans="4:12" x14ac:dyDescent="0.3">
      <c r="D56" s="3"/>
      <c r="E56" s="3"/>
      <c r="F56" s="3"/>
      <c r="G56" s="3"/>
      <c r="H56" s="3" t="s">
        <v>129</v>
      </c>
      <c r="I56" s="3"/>
      <c r="J56" s="3"/>
      <c r="K56" s="3"/>
      <c r="L56" s="3"/>
    </row>
    <row r="57" spans="4:12" x14ac:dyDescent="0.3">
      <c r="D57" s="3"/>
      <c r="E57" s="3"/>
      <c r="F57" s="3"/>
      <c r="G57" s="3"/>
      <c r="H57" s="3" t="s">
        <v>129</v>
      </c>
      <c r="I57" s="3"/>
      <c r="J57" s="3"/>
      <c r="K57" s="3"/>
      <c r="L57" s="3"/>
    </row>
  </sheetData>
  <conditionalFormatting sqref="L8:L48">
    <cfRule type="top10" dxfId="1" priority="1" rank="10"/>
    <cfRule type="top10" dxfId="0" priority="2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Asha Mathew</cp:lastModifiedBy>
  <dcterms:created xsi:type="dcterms:W3CDTF">2023-04-26T07:21:03Z</dcterms:created>
  <dcterms:modified xsi:type="dcterms:W3CDTF">2023-07-21T17:36:12Z</dcterms:modified>
</cp:coreProperties>
</file>